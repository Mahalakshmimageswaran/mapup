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3071D01A-CC03-444E-875D-0E58ADA7A5A7}" xr6:coauthVersionLast="47" xr6:coauthVersionMax="47" xr10:uidLastSave="{00000000-0000-0000-0000-000000000000}"/>
  <bookViews>
    <workbookView xWindow="0" yWindow="0" windowWidth="9410" windowHeight="10200" tabRatio="849" activeTab="1" xr2:uid="{00000000-000D-0000-FFFF-FFFF00000000}"/>
    <workbookView xWindow="-110" yWindow="-110" windowWidth="19420" windowHeight="10420" xr2:uid="{612EFFB3-329E-4E7C-B82B-67CE880BF31B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/>
  <c r="D13" i="19"/>
  <c r="D14" i="19"/>
  <c r="D15" i="19"/>
  <c r="D16" i="19"/>
  <c r="D17" i="19"/>
  <c r="D18" i="19"/>
  <c r="D19" i="19"/>
  <c r="D20" i="19"/>
  <c r="D21" i="19"/>
  <c r="C15" i="19"/>
  <c r="C13" i="19"/>
  <c r="F30" i="18"/>
  <c r="F29" i="18"/>
  <c r="F28" i="18"/>
  <c r="E30" i="18"/>
  <c r="E28" i="18"/>
  <c r="E29" i="18"/>
  <c r="D30" i="18"/>
  <c r="D29" i="18"/>
  <c r="D28" i="18"/>
  <c r="C30" i="18"/>
  <c r="C29" i="18"/>
  <c r="C28" i="18"/>
  <c r="B28" i="18"/>
  <c r="B30" i="18"/>
  <c r="B29" i="18"/>
  <c r="B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3" i="1"/>
</calcChain>
</file>

<file path=xl/sharedStrings.xml><?xml version="1.0" encoding="utf-8"?>
<sst xmlns="http://schemas.openxmlformats.org/spreadsheetml/2006/main" count="451" uniqueCount="228">
  <si>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</si>
  <si>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</si>
  <si>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</si>
  <si>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</si>
  <si>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</si>
  <si>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</si>
  <si>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</si>
  <si>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</si>
  <si>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</si>
  <si>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</si>
  <si>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</si>
  <si>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</si>
  <si>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</si>
  <si>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</si>
  <si>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</si>
  <si>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</si>
  <si>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</si>
  <si>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</si>
  <si>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</si>
  <si>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</si>
  <si>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</si>
  <si>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</si>
  <si>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</si>
  <si>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</si>
  <si>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</si>
  <si>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</si>
  <si>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</si>
  <si>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</si>
  <si>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</si>
  <si>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</si>
  <si>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</si>
  <si>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</si>
  <si>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</si>
  <si>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</si>
  <si>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</si>
  <si>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</si>
  <si>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</si>
  <si>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</si>
  <si>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</si>
  <si>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</si>
  <si>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</si>
  <si>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</si>
  <si>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</si>
  <si>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</si>
  <si>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</si>
  <si>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</si>
  <si>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</si>
  <si>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</si>
  <si>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</si>
  <si>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</si>
  <si>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</si>
  <si>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</si>
  <si>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</si>
  <si>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</si>
  <si>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</si>
  <si>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</si>
  <si>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</si>
  <si>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</si>
  <si>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</si>
  <si>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</si>
  <si>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</si>
  <si>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</si>
  <si>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</si>
  <si>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</si>
  <si>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</si>
  <si>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</si>
  <si>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</si>
  <si>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</si>
  <si>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</si>
  <si>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</si>
  <si>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</si>
  <si>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</si>
  <si>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</si>
  <si>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</si>
  <si>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</si>
  <si>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</si>
  <si>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</si>
  <si>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</si>
  <si>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</si>
  <si>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</si>
  <si>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</si>
  <si>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</si>
  <si>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</si>
  <si>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</si>
  <si>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</si>
  <si>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</si>
  <si>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</si>
  <si>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</si>
  <si>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</si>
  <si>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</si>
  <si>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</si>
  <si>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</si>
  <si>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</si>
  <si>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</si>
  <si>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</si>
  <si>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</si>
  <si>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</si>
  <si>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</si>
  <si>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</si>
  <si>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</si>
  <si>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</si>
  <si>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</si>
  <si>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</si>
  <si>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</si>
  <si>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</si>
  <si>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</si>
  <si>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</si>
  <si>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</si>
  <si>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</si>
  <si>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</si>
  <si>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</si>
  <si>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</si>
  <si>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</si>
  <si>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</si>
  <si>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</si>
  <si>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</si>
  <si>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</si>
  <si>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</si>
  <si>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</si>
  <si>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</si>
  <si>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</si>
  <si>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</si>
  <si>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</si>
  <si>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</si>
  <si>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</si>
  <si>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</si>
  <si>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</si>
  <si>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</si>
  <si>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</si>
  <si>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</si>
  <si>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</si>
  <si>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</si>
  <si>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</si>
  <si>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</si>
  <si>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</si>
  <si>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</si>
  <si>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</si>
  <si>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</si>
  <si>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</si>
  <si>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</si>
  <si>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</si>
  <si>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</si>
  <si>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</si>
  <si>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</si>
  <si>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</si>
  <si>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</si>
  <si>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</si>
  <si>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</si>
  <si>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</si>
  <si>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</si>
  <si>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</si>
  <si>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</si>
  <si>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</si>
  <si>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</si>
  <si>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</si>
  <si>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</si>
  <si>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</si>
  <si>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</si>
  <si>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</si>
  <si>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</si>
  <si>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</si>
  <si>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</si>
  <si>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</si>
  <si>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</si>
  <si>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</si>
  <si>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</si>
  <si>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</si>
  <si>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</si>
  <si>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</si>
  <si>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</si>
  <si>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</si>
  <si>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</si>
  <si>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</si>
  <si>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</si>
  <si>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</si>
  <si>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</si>
  <si>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</si>
  <si>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SUMIF(H2:H40,"&lt;20",H2:H40)</t>
  </si>
  <si>
    <t>qn 2 task 1</t>
  </si>
  <si>
    <t>20000</t>
  </si>
  <si>
    <t>20002</t>
  </si>
  <si>
    <t>20004</t>
  </si>
  <si>
    <t>20006</t>
  </si>
  <si>
    <t>20008</t>
  </si>
  <si>
    <t>20010</t>
  </si>
  <si>
    <t>20012</t>
  </si>
  <si>
    <t>20014</t>
  </si>
  <si>
    <t>20016</t>
  </si>
  <si>
    <t>20018</t>
  </si>
  <si>
    <t>20020</t>
  </si>
  <si>
    <t>20022</t>
  </si>
  <si>
    <t>20024</t>
  </si>
  <si>
    <t>20026</t>
  </si>
  <si>
    <t>20028</t>
  </si>
  <si>
    <t>20030</t>
  </si>
  <si>
    <t>20032</t>
  </si>
  <si>
    <t>20034</t>
  </si>
  <si>
    <t>20036</t>
  </si>
  <si>
    <t>20038</t>
  </si>
  <si>
    <t>20040</t>
  </si>
  <si>
    <t>20042</t>
  </si>
  <si>
    <t>20044</t>
  </si>
  <si>
    <t>20046</t>
  </si>
  <si>
    <t>20048</t>
  </si>
  <si>
    <t>20050</t>
  </si>
  <si>
    <t>20052</t>
  </si>
  <si>
    <t>20054</t>
  </si>
  <si>
    <t>20058</t>
  </si>
  <si>
    <t>20060</t>
  </si>
  <si>
    <t>21000</t>
  </si>
  <si>
    <t>21002</t>
  </si>
  <si>
    <t>21004</t>
  </si>
  <si>
    <t>21006</t>
  </si>
  <si>
    <t>21008</t>
  </si>
  <si>
    <t>21010</t>
  </si>
  <si>
    <t>21012</t>
  </si>
  <si>
    <t>21014</t>
  </si>
  <si>
    <t>21016</t>
  </si>
  <si>
    <t>DATA tab -&gt; Text to Columns(Data Tools group)-&gt;</t>
  </si>
  <si>
    <t>Delimited -&gt;</t>
  </si>
  <si>
    <t>Semicolon -&gt;</t>
  </si>
  <si>
    <t xml:space="preserve">General-&gt; FINISH </t>
  </si>
  <si>
    <t>We used built in functionality under data tools group in data tab , we separated using semicolon delimiter.</t>
  </si>
  <si>
    <t>IFERROR(VLOOKUP(A12,A11:C21,3,FALSE),"20")</t>
  </si>
  <si>
    <t>vlook up will check whether the cell hase NA or not and IFERROR is used when there is NA change to 20 .</t>
  </si>
  <si>
    <t>sales1</t>
  </si>
  <si>
    <t xml:space="preserve">and SUM </t>
  </si>
  <si>
    <t>Sum is used to calculate total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</si>
</sst>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7" fontId="3" fillId="0" borderId="0" xfId="0" applyNumberFormat="1" applyFont="1"/>
    <xf numFmtId="49" fontId="3" fillId="0" borderId="2" xfId="0" applyNumberFormat="1" applyFont="1" applyBorder="1"/>
    <xf numFmtId="49" fontId="3" fillId="0" borderId="4" xfId="0" applyNumberFormat="1" applyFont="1" applyBorder="1"/>
    <xf numFmtId="0" fontId="8" fillId="0" borderId="3" xfId="0" applyFont="1" applyBorder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11" sqref="A11"/>
    </sheetView>
    <sheetView tabSelected="1" workbookViewId="1">
      <selection activeCell="B14" sqref="B14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3"/>
  <sheetViews>
    <sheetView tabSelected="1" topLeftCell="U1" zoomScaleNormal="100" workbookViewId="0">
      <pane ySplit="1" topLeftCell="A24" activePane="bottomLeft" state="frozen"/>
      <selection activeCell="N1" sqref="N1"/>
      <selection pane="bottomLeft" activeCell="T18" sqref="T18"/>
    </sheetView>
    <sheetView topLeftCell="U24" workbookViewId="1">
      <selection activeCell="G2" sqref="G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3" spans="1:24" x14ac:dyDescent="0.35">
      <c r="G43" s="1" t="s">
        <v>178</v>
      </c>
      <c r="H43" s="1">
        <f>SUMIF(H2:H40,"&lt;20",H2:H40)</f>
        <v>67.5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  <sheetView workbookViewId="1"/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  <sheetView workbookViewId="1">
      <selection activeCell="F31" sqref="F31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VLOOKUP(A6,Dataset!$A$1:$X$40,7,FALSE)</f>
        <v>2.7</v>
      </c>
      <c r="C6" s="11">
        <f>VLOOKUP(A6,Dataset!$A$1:$X$40,14,)</f>
        <v>7.6</v>
      </c>
      <c r="D6" s="11">
        <f>VLOOKUP(A6,Dataset!$A$1:$X$41,18,FALSE)</f>
        <v>4.2</v>
      </c>
      <c r="E6" s="11">
        <f>VLOOKUP(A6,Dataset!A1:X40,20,FALSE)</f>
        <v>8.9</v>
      </c>
      <c r="F6" s="8">
        <f>VLOOKUP(A6,Dataset!A1:X40,22,FALSE)</f>
        <v>4.2</v>
      </c>
    </row>
    <row r="7" spans="1:7" ht="14.5" x14ac:dyDescent="0.35">
      <c r="A7" s="7" t="s">
        <v>4</v>
      </c>
      <c r="B7" s="11">
        <f>VLOOKUP(A7,Dataset!$A$1:$X$40,7,FALSE)</f>
        <v>2.7</v>
      </c>
      <c r="C7" s="11">
        <f>VLOOKUP(A7,Dataset!$A$1:$X$40,14,)</f>
        <v>7.6</v>
      </c>
      <c r="D7" s="11">
        <f>VLOOKUP(A7,Dataset!$A$1:$X$41,18,FALSE)</f>
        <v>4.2</v>
      </c>
      <c r="E7" s="11">
        <f>VLOOKUP(A7,Dataset!A2:X41,20,FALSE)</f>
        <v>8.9</v>
      </c>
      <c r="F7" s="8">
        <f>VLOOKUP(A7,Dataset!A2:X41,22,FALSE)</f>
        <v>4.2</v>
      </c>
    </row>
    <row r="8" spans="1:7" ht="14.5" x14ac:dyDescent="0.35">
      <c r="A8" s="7" t="s">
        <v>7</v>
      </c>
      <c r="B8" s="11">
        <f>VLOOKUP(A8,Dataset!$A$1:$X$40,7,FALSE)</f>
        <v>3.6</v>
      </c>
      <c r="C8" s="11">
        <f>VLOOKUP(A8,Dataset!$A$1:$X$40,14,)</f>
        <v>11.1</v>
      </c>
      <c r="D8" s="11">
        <f>VLOOKUP(A8,Dataset!$A$1:$X$41,18,FALSE)</f>
        <v>5.8</v>
      </c>
      <c r="E8" s="11">
        <f>VLOOKUP(A8,Dataset!A3:X42,20,FALSE)</f>
        <v>12.2</v>
      </c>
      <c r="F8" s="8">
        <f>VLOOKUP(A8,Dataset!A3:X42,22,FALSE)</f>
        <v>5.8</v>
      </c>
    </row>
    <row r="9" spans="1:7" ht="14.5" x14ac:dyDescent="0.35">
      <c r="A9" s="7" t="s">
        <v>8</v>
      </c>
      <c r="B9" s="11">
        <f>VLOOKUP(A9,Dataset!$A$1:$X$40,7,FALSE)</f>
        <v>4.9000000000000004</v>
      </c>
      <c r="C9" s="11">
        <f>VLOOKUP(A9,Dataset!$A$1:$X$40,14,)</f>
        <v>13.3</v>
      </c>
      <c r="D9" s="11">
        <f>VLOOKUP(A9,Dataset!$A$1:$X$41,18,FALSE)</f>
        <v>8.1</v>
      </c>
      <c r="E9" s="11">
        <f>VLOOKUP(A9,Dataset!A4:X43,20,FALSE)</f>
        <v>17</v>
      </c>
      <c r="F9" s="8">
        <f>VLOOKUP(A9,Dataset!A4:X43,22,FALSE)</f>
        <v>8.1</v>
      </c>
    </row>
    <row r="10" spans="1:7" ht="14.5" x14ac:dyDescent="0.35">
      <c r="A10" s="7" t="s">
        <v>11</v>
      </c>
      <c r="B10" s="11">
        <f>VLOOKUP(A10,Dataset!$A$1:$X$40,7,FALSE)</f>
        <v>9.4</v>
      </c>
      <c r="C10" s="11">
        <f>VLOOKUP(A10,Dataset!$A$1:$X$40,14,)</f>
        <v>28.3</v>
      </c>
      <c r="D10" s="11">
        <f>VLOOKUP(A10,Dataset!$A$1:$X$41,18,FALSE)</f>
        <v>16.100000000000001</v>
      </c>
      <c r="E10" s="11">
        <f>VLOOKUP(A10,Dataset!A5:X44,20,FALSE)</f>
        <v>32.799999999999997</v>
      </c>
      <c r="F10" s="8">
        <f>VLOOKUP(A10,Dataset!A5:X44,22,FALSE)</f>
        <v>16.100000000000001</v>
      </c>
    </row>
    <row r="11" spans="1:7" ht="14.5" x14ac:dyDescent="0.35">
      <c r="A11" s="7" t="s">
        <v>12</v>
      </c>
      <c r="B11" s="11">
        <f>VLOOKUP(A11,Dataset!$A$1:$X$40,7,FALSE)</f>
        <v>11.6</v>
      </c>
      <c r="C11" s="11">
        <f>VLOOKUP(A11,Dataset!$A$1:$X$40,14,)</f>
        <v>35.200000000000003</v>
      </c>
      <c r="D11" s="11">
        <f>VLOOKUP(A11,Dataset!$A$1:$X$41,18,FALSE)</f>
        <v>21.3</v>
      </c>
      <c r="E11" s="11">
        <f>VLOOKUP(A11,Dataset!A6:X45,20,FALSE)</f>
        <v>43</v>
      </c>
      <c r="F11" s="8">
        <f>VLOOKUP(A11,Dataset!A6:X45,22,FALSE)</f>
        <v>21.3</v>
      </c>
    </row>
    <row r="12" spans="1:7" ht="14.5" x14ac:dyDescent="0.35">
      <c r="A12" s="7" t="s">
        <v>14</v>
      </c>
      <c r="B12" s="11">
        <f>VLOOKUP(A12,Dataset!$A$1:$X$40,7,FALSE)</f>
        <v>18.399999999999999</v>
      </c>
      <c r="C12" s="11">
        <f>VLOOKUP(A12,Dataset!$A$1:$X$40,14,)</f>
        <v>55.6</v>
      </c>
      <c r="D12" s="11">
        <f>VLOOKUP(A12,Dataset!$A$1:$X$41,18,FALSE)</f>
        <v>33.799999999999997</v>
      </c>
      <c r="E12" s="11">
        <f>VLOOKUP(A12,Dataset!A7:X46,20,FALSE)</f>
        <v>67.900000000000006</v>
      </c>
      <c r="F12" s="8">
        <f>VLOOKUP(A12,Dataset!A7:X46,22,FALSE)</f>
        <v>33.799999999999997</v>
      </c>
    </row>
    <row r="13" spans="1:7" ht="14.5" x14ac:dyDescent="0.35">
      <c r="A13" s="7" t="s">
        <v>15</v>
      </c>
      <c r="B13" s="11">
        <f>VLOOKUP(A13,Dataset!$A$1:$X$40,7,FALSE)</f>
        <v>0</v>
      </c>
      <c r="C13" s="11">
        <f>VLOOKUP(A13,Dataset!$A$1:$X$40,14,)</f>
        <v>0</v>
      </c>
      <c r="D13" s="11">
        <f>VLOOKUP(A13,Dataset!$A$1:$X$41,18,FALSE)</f>
        <v>0</v>
      </c>
      <c r="E13" s="11">
        <f>VLOOKUP(A13,Dataset!A8:X47,20,FALSE)</f>
        <v>0</v>
      </c>
      <c r="F13" s="8">
        <f>VLOOKUP(A13,Dataset!A8:X47,22,FALSE)</f>
        <v>0</v>
      </c>
    </row>
    <row r="14" spans="1:7" ht="14.5" x14ac:dyDescent="0.35">
      <c r="A14" s="7" t="s">
        <v>16</v>
      </c>
      <c r="B14" s="11">
        <f>VLOOKUP(A14,Dataset!$A$1:$X$40,7,FALSE)</f>
        <v>21.9</v>
      </c>
      <c r="C14" s="11">
        <f>VLOOKUP(A14,Dataset!$A$1:$X$40,14,)</f>
        <v>61.5</v>
      </c>
      <c r="D14" s="11">
        <f>VLOOKUP(A14,Dataset!$A$1:$X$41,18,FALSE)</f>
        <v>40.1</v>
      </c>
      <c r="E14" s="11">
        <f>VLOOKUP(A14,Dataset!A9:X48,20,FALSE)</f>
        <v>76.599999999999994</v>
      </c>
      <c r="F14" s="8">
        <f>VLOOKUP(A14,Dataset!A9:X48,22,FALSE)</f>
        <v>40.1</v>
      </c>
    </row>
    <row r="15" spans="1:7" ht="14.5" x14ac:dyDescent="0.35">
      <c r="A15" s="7" t="s">
        <v>18</v>
      </c>
      <c r="B15" s="11">
        <f>VLOOKUP(A15,Dataset!$A$1:$X$40,7,FALSE)</f>
        <v>26.8</v>
      </c>
      <c r="C15" s="11">
        <f>VLOOKUP(A15,Dataset!$A$1:$X$40,14,)</f>
        <v>79.599999999999994</v>
      </c>
      <c r="D15" s="11">
        <f>VLOOKUP(A15,Dataset!$A$1:$X$41,18,FALSE)</f>
        <v>47.9</v>
      </c>
      <c r="E15" s="11">
        <f>VLOOKUP(A15,Dataset!A10:X49,20,FALSE)</f>
        <v>96.8</v>
      </c>
      <c r="F15" s="8">
        <f>VLOOKUP(A15,Dataset!A10:X49,22,FALSE)</f>
        <v>47.9</v>
      </c>
    </row>
    <row r="16" spans="1:7" ht="14.5" x14ac:dyDescent="0.35">
      <c r="A16" s="7" t="s">
        <v>20</v>
      </c>
      <c r="B16" s="11">
        <f>VLOOKUP(A16,Dataset!$A$1:$X$40,7,FALSE)</f>
        <v>28.5</v>
      </c>
      <c r="C16" s="11">
        <f>VLOOKUP(A16,Dataset!$A$1:$X$40,14,)</f>
        <v>85.4</v>
      </c>
      <c r="D16" s="11">
        <f>VLOOKUP(A16,Dataset!$A$1:$X$41,18,FALSE)</f>
        <v>52.3</v>
      </c>
      <c r="E16" s="11">
        <f>VLOOKUP(A16,Dataset!A11:X50,20,FALSE)</f>
        <v>106.1</v>
      </c>
      <c r="F16" s="8">
        <f>VLOOKUP(A16,Dataset!A11:X50,22,FALSE)</f>
        <v>52.3</v>
      </c>
    </row>
    <row r="17" spans="1:6" ht="14.5" x14ac:dyDescent="0.35">
      <c r="A17" s="7" t="s">
        <v>22</v>
      </c>
      <c r="B17" s="11">
        <f>VLOOKUP(A17,Dataset!$A$1:$X$40,7,FALSE)</f>
        <v>30.7</v>
      </c>
      <c r="C17" s="11">
        <f>VLOOKUP(A17,Dataset!$A$1:$X$40,14,)</f>
        <v>92.1</v>
      </c>
      <c r="D17" s="11">
        <f>VLOOKUP(A17,Dataset!$A$1:$X$41,18,FALSE)</f>
        <v>57</v>
      </c>
      <c r="E17" s="11">
        <f>VLOOKUP(A17,Dataset!A12:X51,20,FALSE)</f>
        <v>115.1</v>
      </c>
      <c r="F17" s="8">
        <f>VLOOKUP(A17,Dataset!A12:X51,22,FALSE)</f>
        <v>57</v>
      </c>
    </row>
    <row r="18" spans="1:6" ht="14.5" x14ac:dyDescent="0.35">
      <c r="A18" s="7" t="s">
        <v>23</v>
      </c>
      <c r="B18" s="11">
        <f>VLOOKUP(A18,Dataset!$A$1:$X$40,7,FALSE)</f>
        <v>33.799999999999997</v>
      </c>
      <c r="C18" s="11">
        <f>VLOOKUP(A18,Dataset!$A$1:$X$40,14,)</f>
        <v>101.3</v>
      </c>
      <c r="D18" s="11">
        <f>VLOOKUP(A18,Dataset!$A$1:$X$41,18,FALSE)</f>
        <v>61.4</v>
      </c>
      <c r="E18" s="11">
        <f>VLOOKUP(A18,Dataset!A13:X52,20,FALSE)</f>
        <v>124.4</v>
      </c>
      <c r="F18" s="8">
        <f>VLOOKUP(A18,Dataset!A13:X52,22,FALSE)</f>
        <v>61.4</v>
      </c>
    </row>
    <row r="19" spans="1:6" ht="14.5" x14ac:dyDescent="0.35">
      <c r="A19" s="7" t="s">
        <v>24</v>
      </c>
      <c r="B19" s="11">
        <f>VLOOKUP(A19,Dataset!$A$1:$X$40,7,FALSE)</f>
        <v>34.700000000000003</v>
      </c>
      <c r="C19" s="11">
        <f>VLOOKUP(A19,Dataset!$A$1:$X$40,14,)</f>
        <v>106.1</v>
      </c>
      <c r="D19" s="11">
        <f>VLOOKUP(A19,Dataset!$A$1:$X$41,18,FALSE)</f>
        <v>63.6</v>
      </c>
      <c r="E19" s="11">
        <f>VLOOKUP(A19,Dataset!A14:X53,20,FALSE)</f>
        <v>128.6</v>
      </c>
      <c r="F19" s="8">
        <f>VLOOKUP(A19,Dataset!A14:X53,22,FALSE)</f>
        <v>63.6</v>
      </c>
    </row>
    <row r="20" spans="1:6" ht="14.5" x14ac:dyDescent="0.35">
      <c r="A20" s="7" t="s">
        <v>28</v>
      </c>
      <c r="B20" s="11">
        <f>VLOOKUP(A20,Dataset!$A$1:$X$40,7,FALSE)</f>
        <v>0</v>
      </c>
      <c r="C20" s="11">
        <f>VLOOKUP(A20,Dataset!$A$1:$X$40,14,)</f>
        <v>0</v>
      </c>
      <c r="D20" s="11">
        <f>VLOOKUP(A20,Dataset!$A$1:$X$41,18,FALSE)</f>
        <v>0</v>
      </c>
      <c r="E20" s="11">
        <f>VLOOKUP(A20,Dataset!A15:X54,20,FALSE)</f>
        <v>0</v>
      </c>
      <c r="F20" s="8">
        <f>VLOOKUP(A20,Dataset!A15:X54,22,FALSE)</f>
        <v>0</v>
      </c>
    </row>
    <row r="21" spans="1:6" ht="14.5" x14ac:dyDescent="0.35">
      <c r="A21" s="7" t="s">
        <v>57</v>
      </c>
      <c r="B21" s="11">
        <f>VLOOKUP(A21,Dataset!$A$1:$X$40,7,FALSE)</f>
        <v>41.3</v>
      </c>
      <c r="C21" s="11">
        <f>VLOOKUP(A21,Dataset!$A$1:$X$40,14,)</f>
        <v>124.4</v>
      </c>
      <c r="D21" s="11">
        <f>VLOOKUP(A21,Dataset!$A$1:$X$41,18,FALSE)</f>
        <v>75</v>
      </c>
      <c r="E21" s="11">
        <f>VLOOKUP(A21,Dataset!A16:X55,20,FALSE)</f>
        <v>151.5</v>
      </c>
      <c r="F21" s="8">
        <f>VLOOKUP(A21,Dataset!A16:X55,22,FALSE)</f>
        <v>75</v>
      </c>
    </row>
    <row r="22" spans="1:6" ht="14.5" x14ac:dyDescent="0.35">
      <c r="A22" s="7" t="s">
        <v>58</v>
      </c>
      <c r="B22" s="11">
        <f>VLOOKUP(A22,Dataset!$A$1:$X$40,7,FALSE)</f>
        <v>-1</v>
      </c>
      <c r="C22" s="11">
        <f>VLOOKUP(A22,Dataset!$A$1:$X$40,14,)</f>
        <v>-1</v>
      </c>
      <c r="D22" s="11">
        <f>VLOOKUP(A22,Dataset!$A$1:$X$41,18,FALSE)</f>
        <v>-1</v>
      </c>
      <c r="E22" s="11">
        <f>VLOOKUP(A22,Dataset!A17:X56,20,FALSE)</f>
        <v>-1</v>
      </c>
      <c r="F22" s="8">
        <f>VLOOKUP(A22,Dataset!A17:X56,22,FALSE)</f>
        <v>-1</v>
      </c>
    </row>
    <row r="23" spans="1:6" ht="14.5" x14ac:dyDescent="0.35">
      <c r="A23" s="7" t="s">
        <v>31</v>
      </c>
      <c r="B23" s="11">
        <f>VLOOKUP(A23,Dataset!$A$1:$X$40,7,FALSE)</f>
        <v>45</v>
      </c>
      <c r="C23" s="11">
        <f>VLOOKUP(A23,Dataset!$A$1:$X$40,14,)</f>
        <v>133.4</v>
      </c>
      <c r="D23" s="11">
        <f>VLOOKUP(A23,Dataset!$A$1:$X$41,18,FALSE)</f>
        <v>79.400000000000006</v>
      </c>
      <c r="E23" s="11">
        <f>VLOOKUP(A23,Dataset!A18:X57,20,FALSE)</f>
        <v>160.9</v>
      </c>
      <c r="F23" s="8">
        <f>VLOOKUP(A23,Dataset!A18:X57,22,FALSE)</f>
        <v>79.400000000000006</v>
      </c>
    </row>
    <row r="24" spans="1:6" ht="14.5" x14ac:dyDescent="0.35">
      <c r="A24" s="7" t="s">
        <v>32</v>
      </c>
      <c r="B24" s="11">
        <f>VLOOKUP(A24,Dataset!$A$1:$X$40,7,FALSE)</f>
        <v>-1</v>
      </c>
      <c r="C24" s="11">
        <f>VLOOKUP(A24,Dataset!$A$1:$X$40,14,)</f>
        <v>-1</v>
      </c>
      <c r="D24" s="11">
        <f>VLOOKUP(A24,Dataset!$A$1:$X$41,18,FALSE)</f>
        <v>-1</v>
      </c>
      <c r="E24" s="11">
        <f>VLOOKUP(A24,Dataset!A19:X58,20,FALSE)</f>
        <v>-1</v>
      </c>
      <c r="F24" s="8">
        <f>VLOOKUP(A24,Dataset!A19:X58,22,FALSE)</f>
        <v>-1</v>
      </c>
    </row>
    <row r="25" spans="1:6" ht="14.5" x14ac:dyDescent="0.35">
      <c r="A25" s="7" t="s">
        <v>34</v>
      </c>
      <c r="B25" s="11">
        <f>VLOOKUP(A25,Dataset!$A$1:$X$40,7,FALSE)</f>
        <v>43.3</v>
      </c>
      <c r="C25" s="11">
        <f>VLOOKUP(A25,Dataset!$A$1:$X$40,14,)</f>
        <v>128.6</v>
      </c>
      <c r="D25" s="11">
        <f>VLOOKUP(A25,Dataset!$A$1:$X$41,18,FALSE)</f>
        <v>79.400000000000006</v>
      </c>
      <c r="E25" s="11">
        <f>VLOOKUP(A25,Dataset!A20:X59,20,FALSE)</f>
        <v>160.9</v>
      </c>
      <c r="F25" s="8">
        <f>VLOOKUP(A25,Dataset!A20:X59,22,FALSE)</f>
        <v>79.400000000000006</v>
      </c>
    </row>
    <row r="26" spans="1:6" ht="14.5" x14ac:dyDescent="0.35">
      <c r="A26" s="7" t="s">
        <v>37</v>
      </c>
      <c r="B26" s="11">
        <f>VLOOKUP(A26,Dataset!$A$1:$X$40,7,FALSE)</f>
        <v>49.1</v>
      </c>
      <c r="C26" s="11">
        <f>VLOOKUP(A26,Dataset!$A$1:$X$40,14,)</f>
        <v>146.80000000000001</v>
      </c>
      <c r="D26" s="11">
        <f>VLOOKUP(A26,Dataset!$A$1:$X$41,18,FALSE)</f>
        <v>90.9</v>
      </c>
      <c r="E26" s="11">
        <f>VLOOKUP(A26,Dataset!A21:X60,20,FALSE)</f>
        <v>183.5</v>
      </c>
      <c r="F26" s="8">
        <f>VLOOKUP(A26,Dataset!A21:X60,22,FALSE)</f>
        <v>90.9</v>
      </c>
    </row>
    <row r="27" spans="1:6" ht="14.5" x14ac:dyDescent="0.35">
      <c r="A27" s="7" t="s">
        <v>39</v>
      </c>
      <c r="B27" s="11">
        <f>VLOOKUP(A27,Dataset!$A$1:$X$40,7,FALSE)</f>
        <v>51.8</v>
      </c>
      <c r="C27" s="11">
        <f>VLOOKUP(A27,Dataset!$A$1:$X$40,14,)</f>
        <v>156.4</v>
      </c>
      <c r="D27" s="11">
        <f>VLOOKUP(A27,Dataset!$A$1:$X$41,18,FALSE)</f>
        <v>93.1</v>
      </c>
      <c r="E27" s="11">
        <f>VLOOKUP(A27,Dataset!A22:X61,20,FALSE)</f>
        <v>188.1</v>
      </c>
      <c r="F27" s="8">
        <f>VLOOKUP(A27,Dataset!A22:X61,22,FALSE)</f>
        <v>93.1</v>
      </c>
    </row>
    <row r="28" spans="1:6" ht="14.5" x14ac:dyDescent="0.35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5" x14ac:dyDescent="0.35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5" x14ac:dyDescent="0.35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  <sheetView topLeftCell="A2" workbookViewId="1">
      <selection activeCell="B6" sqref="B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 t="s">
        <v>218</v>
      </c>
      <c r="G5" s="1" t="s">
        <v>219</v>
      </c>
      <c r="H5" s="1" t="s">
        <v>220</v>
      </c>
      <c r="I5" s="1" t="s">
        <v>221</v>
      </c>
    </row>
    <row r="6" spans="1:10" ht="18.5" x14ac:dyDescent="0.45">
      <c r="A6" s="42" t="s">
        <v>153</v>
      </c>
      <c r="B6" s="39" t="s">
        <v>222</v>
      </c>
      <c r="C6" s="39"/>
      <c r="D6" s="39"/>
      <c r="E6" s="39"/>
    </row>
    <row r="7" spans="1:10" ht="18.5" x14ac:dyDescent="0.45">
      <c r="A7" s="42"/>
      <c r="B7" s="39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46" t="s">
        <v>121</v>
      </c>
      <c r="B16" s="46" t="s">
        <v>179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46" t="s">
        <v>122</v>
      </c>
      <c r="B17" s="46" t="s">
        <v>180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46" t="s">
        <v>123</v>
      </c>
      <c r="B18" s="46" t="s">
        <v>181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46" t="s">
        <v>124</v>
      </c>
      <c r="B19" s="46" t="s">
        <v>182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46" t="s">
        <v>125</v>
      </c>
      <c r="B20" s="46" t="s">
        <v>183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46" t="s">
        <v>126</v>
      </c>
      <c r="B21" s="46" t="s">
        <v>184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46" t="s">
        <v>127</v>
      </c>
      <c r="B22" s="46" t="s">
        <v>185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46" t="s">
        <v>128</v>
      </c>
      <c r="B23" s="46" t="s">
        <v>186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46" t="s">
        <v>129</v>
      </c>
      <c r="B24" s="46" t="s">
        <v>187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46" t="s">
        <v>130</v>
      </c>
      <c r="B25" s="46" t="s">
        <v>188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46" t="s">
        <v>131</v>
      </c>
      <c r="B26" s="46" t="s">
        <v>189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46" t="s">
        <v>132</v>
      </c>
      <c r="B27" s="46" t="s">
        <v>190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46" t="s">
        <v>133</v>
      </c>
      <c r="B28" s="46" t="s">
        <v>191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46" t="s">
        <v>134</v>
      </c>
      <c r="B29" s="46" t="s">
        <v>192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46" t="s">
        <v>135</v>
      </c>
      <c r="B30" s="46" t="s">
        <v>193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46" t="s">
        <v>136</v>
      </c>
      <c r="B31" s="46" t="s">
        <v>194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46" t="s">
        <v>137</v>
      </c>
      <c r="B32" s="46" t="s">
        <v>195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46" t="s">
        <v>138</v>
      </c>
      <c r="B33" s="46" t="s">
        <v>196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46" t="s">
        <v>139</v>
      </c>
      <c r="B34" s="46" t="s">
        <v>197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46" t="s">
        <v>140</v>
      </c>
      <c r="B35" s="46" t="s">
        <v>198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46" t="s">
        <v>141</v>
      </c>
      <c r="B36" s="46" t="s">
        <v>199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46" t="s">
        <v>142</v>
      </c>
      <c r="B37" s="46" t="s">
        <v>200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46" t="s">
        <v>143</v>
      </c>
      <c r="B38" s="46" t="s">
        <v>201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46" t="s">
        <v>144</v>
      </c>
      <c r="B39" s="46" t="s">
        <v>202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46" t="s">
        <v>145</v>
      </c>
      <c r="B40" s="46" t="s">
        <v>203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46" t="s">
        <v>146</v>
      </c>
      <c r="B41" s="46" t="s">
        <v>204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46" t="s">
        <v>147</v>
      </c>
      <c r="B42" s="46" t="s">
        <v>205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46" t="s">
        <v>148</v>
      </c>
      <c r="B43" s="46" t="s">
        <v>206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46" t="s">
        <v>149</v>
      </c>
      <c r="B44" s="46" t="s">
        <v>207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46" t="s">
        <v>150</v>
      </c>
      <c r="B45" s="46" t="s">
        <v>208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46" t="s">
        <v>112</v>
      </c>
      <c r="B46" s="46" t="s">
        <v>209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46" t="s">
        <v>113</v>
      </c>
      <c r="B47" s="46" t="s">
        <v>210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46" t="s">
        <v>114</v>
      </c>
      <c r="B48" s="46" t="s">
        <v>211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46" t="s">
        <v>115</v>
      </c>
      <c r="B49" s="46" t="s">
        <v>212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46" t="s">
        <v>116</v>
      </c>
      <c r="B50" s="46" t="s">
        <v>213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46" t="s">
        <v>117</v>
      </c>
      <c r="B51" s="46" t="s">
        <v>214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46" t="s">
        <v>118</v>
      </c>
      <c r="B52" s="46" t="s">
        <v>215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46" t="s">
        <v>119</v>
      </c>
      <c r="B53" s="46" t="s">
        <v>216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47" t="s">
        <v>120</v>
      </c>
      <c r="B54" s="47" t="s">
        <v>217</v>
      </c>
      <c r="C54" s="1" t="s">
        <v>5</v>
      </c>
      <c r="D54" s="11">
        <v>0</v>
      </c>
      <c r="E54" s="1" t="s">
        <v>6</v>
      </c>
      <c r="F54" s="1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I22"/>
  <sheetViews>
    <sheetView zoomScaleNormal="100" workbookViewId="0"/>
    <sheetView topLeftCell="A3" workbookViewId="1">
      <selection activeCell="I7" sqref="I7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9" ht="21" x14ac:dyDescent="0.5">
      <c r="A1" s="41" t="s">
        <v>85</v>
      </c>
      <c r="B1" s="40" t="s">
        <v>167</v>
      </c>
    </row>
    <row r="2" spans="1:9" ht="18.5" x14ac:dyDescent="0.45">
      <c r="B2" s="39" t="s">
        <v>166</v>
      </c>
    </row>
    <row r="5" spans="1:9" ht="14.5" x14ac:dyDescent="0.35">
      <c r="B5" s="1" t="s">
        <v>151</v>
      </c>
    </row>
    <row r="6" spans="1:9" ht="14.5" x14ac:dyDescent="0.35">
      <c r="A6" s="3" t="s">
        <v>53</v>
      </c>
      <c r="B6" s="2" t="s">
        <v>223</v>
      </c>
      <c r="E6" s="2" t="s">
        <v>226</v>
      </c>
    </row>
    <row r="7" spans="1:9" ht="14.5" x14ac:dyDescent="0.35">
      <c r="A7" s="3" t="s">
        <v>153</v>
      </c>
      <c r="B7" s="1" t="s">
        <v>224</v>
      </c>
      <c r="I7" s="2" t="s">
        <v>227</v>
      </c>
    </row>
    <row r="10" spans="1:9" ht="23.5" x14ac:dyDescent="0.55000000000000004">
      <c r="A10" s="17" t="s">
        <v>162</v>
      </c>
    </row>
    <row r="11" spans="1:9" ht="14.5" x14ac:dyDescent="0.35">
      <c r="A11" s="31" t="s">
        <v>86</v>
      </c>
      <c r="B11" s="16" t="s">
        <v>87</v>
      </c>
      <c r="C11" s="16" t="s">
        <v>88</v>
      </c>
      <c r="D11" s="2" t="s">
        <v>225</v>
      </c>
    </row>
    <row r="12" spans="1:9" ht="14.5" x14ac:dyDescent="0.35">
      <c r="A12" s="31">
        <v>44927</v>
      </c>
      <c r="B12" s="16" t="s">
        <v>59</v>
      </c>
      <c r="C12" s="16">
        <v>200</v>
      </c>
      <c r="D12" s="2">
        <v>200</v>
      </c>
    </row>
    <row r="13" spans="1:9" ht="14.5" x14ac:dyDescent="0.35">
      <c r="A13" s="31">
        <v>44928</v>
      </c>
      <c r="B13" s="16" t="s">
        <v>60</v>
      </c>
      <c r="C13" s="16">
        <f>IFERROR(#N/A, 20)</f>
        <v>20</v>
      </c>
      <c r="D13" s="2">
        <f t="shared" ref="D13:D22" si="0">IFERROR(VLOOKUP(A13,A12:C22,3,FALSE),"20")</f>
        <v>20</v>
      </c>
    </row>
    <row r="14" spans="1:9" ht="14.5" x14ac:dyDescent="0.35">
      <c r="A14" s="31">
        <v>44929</v>
      </c>
      <c r="B14" s="16" t="s">
        <v>61</v>
      </c>
      <c r="C14" s="16">
        <v>50</v>
      </c>
      <c r="D14" s="2">
        <f t="shared" si="0"/>
        <v>50</v>
      </c>
    </row>
    <row r="15" spans="1:9" ht="14.5" x14ac:dyDescent="0.35">
      <c r="A15" s="31">
        <v>44930</v>
      </c>
      <c r="B15" s="16" t="s">
        <v>62</v>
      </c>
      <c r="C15" s="16">
        <f>IFERROR(A15, 20)</f>
        <v>44930</v>
      </c>
      <c r="D15" s="2">
        <f t="shared" si="0"/>
        <v>44930</v>
      </c>
    </row>
    <row r="16" spans="1:9" ht="14.5" x14ac:dyDescent="0.35">
      <c r="A16" s="31">
        <v>44931</v>
      </c>
      <c r="B16" s="16" t="s">
        <v>63</v>
      </c>
      <c r="C16" s="16">
        <v>10</v>
      </c>
      <c r="D16" s="2">
        <f t="shared" si="0"/>
        <v>10</v>
      </c>
    </row>
    <row r="17" spans="1:4" ht="14.5" x14ac:dyDescent="0.35">
      <c r="A17" s="31">
        <v>44932</v>
      </c>
      <c r="B17" s="16" t="s">
        <v>154</v>
      </c>
      <c r="C17" s="16">
        <v>150</v>
      </c>
      <c r="D17" s="2">
        <f t="shared" si="0"/>
        <v>150</v>
      </c>
    </row>
    <row r="18" spans="1:4" ht="14.5" x14ac:dyDescent="0.35">
      <c r="A18" s="31">
        <v>44933</v>
      </c>
      <c r="B18" s="16" t="s">
        <v>155</v>
      </c>
      <c r="C18" s="16">
        <v>80</v>
      </c>
      <c r="D18" s="2">
        <f t="shared" si="0"/>
        <v>80</v>
      </c>
    </row>
    <row r="19" spans="1:4" ht="14.5" x14ac:dyDescent="0.35">
      <c r="A19" s="31">
        <v>44934</v>
      </c>
      <c r="B19" s="16" t="s">
        <v>156</v>
      </c>
      <c r="C19" s="16">
        <v>20</v>
      </c>
      <c r="D19" s="2">
        <f t="shared" si="0"/>
        <v>20</v>
      </c>
    </row>
    <row r="20" spans="1:4" ht="14.5" x14ac:dyDescent="0.35">
      <c r="A20" s="31">
        <v>44935</v>
      </c>
      <c r="B20" s="16" t="s">
        <v>157</v>
      </c>
      <c r="C20" s="16">
        <v>30</v>
      </c>
      <c r="D20" s="2">
        <f t="shared" si="0"/>
        <v>30</v>
      </c>
    </row>
    <row r="21" spans="1:4" ht="14.5" x14ac:dyDescent="0.35">
      <c r="A21" s="31">
        <v>44936</v>
      </c>
      <c r="B21" s="16" t="s">
        <v>158</v>
      </c>
      <c r="C21" s="16">
        <v>20</v>
      </c>
      <c r="D21" s="2">
        <f t="shared" si="0"/>
        <v>20</v>
      </c>
    </row>
    <row r="22" spans="1:4" ht="14.5" x14ac:dyDescent="0.35">
      <c r="B22" s="16" t="s">
        <v>159</v>
      </c>
      <c r="C22" s="24">
        <f>SUM(C12:C21)</f>
        <v>45510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3" zoomScaleNormal="100" workbookViewId="0"/>
    <sheetView topLeftCell="A7" zoomScale="85" zoomScaleNormal="85" workbookViewId="1">
      <selection activeCell="F22" sqref="F22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</row>
    <row r="5" spans="1:14" ht="18.5" x14ac:dyDescent="0.45">
      <c r="A5" s="42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8"/>
    </row>
    <row r="24" spans="1:14" ht="14.5" x14ac:dyDescent="0.35">
      <c r="A24" s="7">
        <v>10100</v>
      </c>
      <c r="B24" s="11">
        <v>10104</v>
      </c>
      <c r="C24" s="43"/>
    </row>
    <row r="25" spans="1:14" ht="14.5" x14ac:dyDescent="0.35">
      <c r="A25" s="7">
        <v>10108</v>
      </c>
      <c r="B25" s="11">
        <v>10102</v>
      </c>
      <c r="C25" s="43"/>
    </row>
    <row r="26" spans="1:14" ht="14.5" x14ac:dyDescent="0.35">
      <c r="A26" s="7">
        <v>10100</v>
      </c>
      <c r="B26" s="11">
        <v>10106</v>
      </c>
      <c r="C26" s="43"/>
    </row>
    <row r="27" spans="1:14" ht="14.5" x14ac:dyDescent="0.35">
      <c r="A27" s="7">
        <v>10108</v>
      </c>
      <c r="B27" s="11">
        <v>10110</v>
      </c>
      <c r="C27" s="43"/>
    </row>
    <row r="28" spans="1:14" ht="14.5" x14ac:dyDescent="0.35">
      <c r="A28" s="7">
        <v>10102</v>
      </c>
      <c r="B28" s="11">
        <v>10104</v>
      </c>
      <c r="C28" s="43"/>
    </row>
    <row r="29" spans="1:14" ht="14.5" x14ac:dyDescent="0.35">
      <c r="A29" s="7">
        <v>10106</v>
      </c>
      <c r="B29" s="11">
        <v>10108</v>
      </c>
      <c r="C29" s="43"/>
    </row>
    <row r="30" spans="1:14" ht="14.5" x14ac:dyDescent="0.35">
      <c r="A30" s="7">
        <v>10102</v>
      </c>
      <c r="B30" s="11">
        <v>10106</v>
      </c>
      <c r="C30" s="43"/>
    </row>
    <row r="31" spans="1:14" ht="14.5" x14ac:dyDescent="0.35">
      <c r="A31" s="7">
        <v>10110</v>
      </c>
      <c r="B31" s="11">
        <v>10114</v>
      </c>
      <c r="C31" s="43"/>
    </row>
    <row r="32" spans="1:14" ht="14.5" x14ac:dyDescent="0.35">
      <c r="A32" s="7">
        <v>10104</v>
      </c>
      <c r="B32" s="11">
        <v>10106</v>
      </c>
      <c r="C32" s="43"/>
    </row>
    <row r="33" spans="1:3" ht="14.5" x14ac:dyDescent="0.35">
      <c r="A33" s="7">
        <v>10110</v>
      </c>
      <c r="B33" s="11">
        <v>10112</v>
      </c>
      <c r="C33" s="43"/>
    </row>
    <row r="34" spans="1:3" ht="14.5" x14ac:dyDescent="0.35">
      <c r="A34" s="7">
        <v>10100</v>
      </c>
      <c r="B34" s="11">
        <v>10114</v>
      </c>
      <c r="C34" s="43"/>
    </row>
    <row r="35" spans="1:3" ht="14.5" x14ac:dyDescent="0.35">
      <c r="A35" s="9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Soundarya mageswaran</cp:lastModifiedBy>
  <dcterms:created xsi:type="dcterms:W3CDTF">2015-02-10T17:33:11Z</dcterms:created>
  <dcterms:modified xsi:type="dcterms:W3CDTF">2023-12-09T15:55:31Z</dcterms:modified>
</cp:coreProperties>
</file>